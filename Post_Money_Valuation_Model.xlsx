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ekhr\Downloads\"/>
    </mc:Choice>
  </mc:AlternateContent>
  <xr:revisionPtr revIDLastSave="0" documentId="13_ncr:1_{E31641BE-D7C9-475D-9AD1-3A3F0654DC16}" xr6:coauthVersionLast="47" xr6:coauthVersionMax="47" xr10:uidLastSave="{00000000-0000-0000-0000-000000000000}"/>
  <bookViews>
    <workbookView xWindow="12257" yWindow="0" windowWidth="12514" windowHeight="14794" xr2:uid="{00000000-000D-0000-FFFF-FFFF00000000}"/>
  </bookViews>
  <sheets>
    <sheet name="Valuation | Cap 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  <c r="F19" i="1" s="1"/>
  <c r="D17" i="1"/>
  <c r="E5" i="1"/>
  <c r="E8" i="1" l="1"/>
  <c r="E6" i="1"/>
  <c r="E7" i="1" l="1"/>
  <c r="C17" i="1"/>
  <c r="E17" i="1" s="1"/>
  <c r="C13" i="1" l="1"/>
  <c r="E9" i="1"/>
  <c r="C14" i="1"/>
  <c r="C15" i="1"/>
  <c r="C16" i="1"/>
  <c r="D13" i="1" l="1"/>
  <c r="E13" i="1"/>
  <c r="C19" i="1"/>
  <c r="D14" i="1"/>
  <c r="E14" i="1"/>
  <c r="D15" i="1"/>
  <c r="E15" i="1"/>
  <c r="D16" i="1"/>
  <c r="E16" i="1"/>
  <c r="E19" i="1" l="1"/>
</calcChain>
</file>

<file path=xl/sharedStrings.xml><?xml version="1.0" encoding="utf-8"?>
<sst xmlns="http://schemas.openxmlformats.org/spreadsheetml/2006/main" count="42" uniqueCount="40">
  <si>
    <t>Post-Money Valuation &amp; Founder Dilution Model</t>
  </si>
  <si>
    <t>Enter blue cells only. Current valuation is treated as pre-money; all amounts must use the same currency.</t>
  </si>
  <si>
    <t>TRANSACTION INPUTS</t>
  </si>
  <si>
    <t>VALUATION OUTPUTS</t>
  </si>
  <si>
    <t>Currency</t>
  </si>
  <si>
    <t>Post-money valuation</t>
  </si>
  <si>
    <t>Current valuation (pre-money)</t>
  </si>
  <si>
    <t>Investor ownership</t>
  </si>
  <si>
    <t>New investment amount</t>
  </si>
  <si>
    <t>Existing holders retained</t>
  </si>
  <si>
    <t>Optional new option pool %</t>
  </si>
  <si>
    <t>New option pool</t>
  </si>
  <si>
    <t>Implied founder dilution</t>
  </si>
  <si>
    <t>CAP TABLE — BEFORE AND AFTER INVESTMENT</t>
  </si>
  <si>
    <t>Holder</t>
  </si>
  <si>
    <t>Current ownership</t>
  </si>
  <si>
    <t>Post-money ownership</t>
  </si>
  <si>
    <t>Dilution (pp)</t>
  </si>
  <si>
    <t>Post-money value</t>
  </si>
  <si>
    <t>Notes</t>
  </si>
  <si>
    <t>Founder 1</t>
  </si>
  <si>
    <t>Editable founder</t>
  </si>
  <si>
    <t>Founder 2</t>
  </si>
  <si>
    <t>Founder 3</t>
  </si>
  <si>
    <t>Existing option pool</t>
  </si>
  <si>
    <t>Existing pool + new pool</t>
  </si>
  <si>
    <t>New investor</t>
  </si>
  <si>
    <t>New money</t>
  </si>
  <si>
    <t>TOTAL / CHECK</t>
  </si>
  <si>
    <t>How it works</t>
  </si>
  <si>
    <t>Legend</t>
  </si>
  <si>
    <t>Cell type</t>
  </si>
  <si>
    <t>Meaning</t>
  </si>
  <si>
    <t>Blue font / yellow fill</t>
  </si>
  <si>
    <t>Black font / green fill</t>
  </si>
  <si>
    <t>GBP</t>
  </si>
  <si>
    <t>1. Enter the current pre-money valuation and investment amount.  
2. Enter the three founder names and current ownership percentages.  
3. Founder ownership plus the existing option pool must total 100%.  
4. Add a new option-pool percentage only if it is created as part of this round.</t>
  </si>
  <si>
    <r>
      <rPr>
        <b/>
        <sz val="11"/>
        <color rgb="FF44546A"/>
        <rFont val="Arial"/>
        <family val="2"/>
      </rPr>
      <t>Model</t>
    </r>
    <r>
      <rPr>
        <sz val="11"/>
        <color rgb="FF44546A"/>
        <rFont val="Arial"/>
      </rPr>
      <t xml:space="preserve"> </t>
    </r>
    <r>
      <rPr>
        <b/>
        <sz val="11"/>
        <color rgb="FF44546A"/>
        <rFont val="Arial"/>
        <family val="2"/>
      </rPr>
      <t>assumption</t>
    </r>
    <r>
      <rPr>
        <sz val="11"/>
        <color rgb="FF44546A"/>
        <rFont val="Arial"/>
      </rPr>
      <t>: Any new option pool is carved out post-money and dilutes both founders and the investor. If your term sheet treats the pool as pre-money, the model should be adjusted.</t>
    </r>
  </si>
  <si>
    <t>Input value</t>
  </si>
  <si>
    <t>Formula encoded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</si>
</sst>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#,##0;[Red]\(\€#,##0\);\-"/>
    <numFmt numFmtId="165" formatCode="0.0%;[Red]\(0.0%\);\-"/>
  </numFmts>
  <fonts count="13">
    <font>
      <sz val="11"/>
      <name val="Carlito"/>
    </font>
    <font>
      <i/>
      <sz val="11"/>
      <color rgb="FF44546A"/>
      <name val="Arial"/>
    </font>
    <font>
      <sz val="11"/>
      <name val="Arial"/>
    </font>
    <font>
      <sz val="11"/>
      <color rgb="FF0000FF"/>
      <name val="Arial"/>
    </font>
    <font>
      <sz val="11"/>
      <color rgb="FF000000"/>
      <name val="Arial"/>
    </font>
    <font>
      <b/>
      <sz val="11"/>
      <color rgb="FF17365D"/>
      <name val="Arial"/>
    </font>
    <font>
      <b/>
      <sz val="11"/>
      <color rgb="FF000000"/>
      <name val="Arial"/>
    </font>
    <font>
      <sz val="11"/>
      <color rgb="FF44546A"/>
      <name val="Arial"/>
    </font>
    <font>
      <b/>
      <sz val="11"/>
      <color rgb="FF44546A"/>
      <name val="Arial"/>
      <family val="2"/>
    </font>
    <font>
      <sz val="11"/>
      <color rgb="FF44546A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3F6F9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8F9FA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double">
        <color rgb="FF17365D"/>
      </top>
      <bottom/>
      <diagonal/>
    </border>
    <border>
      <left style="thin">
        <color rgb="FFD9E1F2"/>
      </left>
      <right style="thin">
        <color rgb="FFD9E1F2"/>
      </right>
      <top/>
      <bottom style="thin">
        <color rgb="FFD9E1F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D9E1F2"/>
      </right>
      <top/>
      <bottom style="thin">
        <color rgb="FFD9E1F2"/>
      </bottom>
      <diagonal/>
    </border>
    <border>
      <left style="thin">
        <color rgb="FFD9E1F2"/>
      </left>
      <right style="medium">
        <color indexed="64"/>
      </right>
      <top/>
      <bottom style="thin">
        <color rgb="FFD9E1F2"/>
      </bottom>
      <diagonal/>
    </border>
    <border>
      <left style="medium">
        <color indexed="64"/>
      </left>
      <right style="thin">
        <color rgb="FFD9E1F2"/>
      </right>
      <top style="thin">
        <color rgb="FFD9E1F2"/>
      </top>
      <bottom style="medium">
        <color indexed="64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medium">
        <color indexed="64"/>
      </bottom>
      <diagonal/>
    </border>
    <border>
      <left style="thin">
        <color rgb="FFD9E1F2"/>
      </left>
      <right style="medium">
        <color indexed="64"/>
      </right>
      <top style="thin">
        <color rgb="FFD9E1F2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3" fillId="3" borderId="2" xfId="0" applyFont="1" applyFill="1" applyBorder="1"/>
    <xf numFmtId="0" fontId="2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164" fontId="4" fillId="4" borderId="0" xfId="0" applyNumberFormat="1" applyFont="1" applyFill="1" applyAlignment="1">
      <alignment vertical="center"/>
    </xf>
    <xf numFmtId="164" fontId="3" fillId="3" borderId="0" xfId="0" applyNumberFormat="1" applyFont="1" applyFill="1" applyAlignment="1">
      <alignment vertical="center"/>
    </xf>
    <xf numFmtId="165" fontId="4" fillId="4" borderId="0" xfId="0" applyNumberFormat="1" applyFont="1" applyFill="1" applyAlignment="1">
      <alignment vertical="center"/>
    </xf>
    <xf numFmtId="165" fontId="3" fillId="3" borderId="0" xfId="0" applyNumberFormat="1" applyFont="1" applyFill="1" applyAlignment="1">
      <alignment vertical="center"/>
    </xf>
    <xf numFmtId="0" fontId="5" fillId="5" borderId="0" xfId="0" applyFont="1" applyFill="1" applyAlignment="1">
      <alignment vertical="center" wrapText="1"/>
    </xf>
    <xf numFmtId="165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165" fontId="4" fillId="2" borderId="0" xfId="0" applyNumberFormat="1" applyFont="1" applyFill="1" applyAlignment="1">
      <alignment vertical="center"/>
    </xf>
    <xf numFmtId="0" fontId="6" fillId="2" borderId="1" xfId="0" applyFont="1" applyFill="1" applyBorder="1" applyAlignment="1">
      <alignment vertical="center"/>
    </xf>
    <xf numFmtId="165" fontId="6" fillId="2" borderId="1" xfId="0" applyNumberFormat="1" applyFont="1" applyFill="1" applyBorder="1" applyAlignment="1">
      <alignment vertical="center"/>
    </xf>
    <xf numFmtId="164" fontId="6" fillId="2" borderId="1" xfId="0" applyNumberFormat="1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7" fillId="6" borderId="0" xfId="0" applyFont="1" applyFill="1" applyAlignment="1">
      <alignment wrapText="1"/>
    </xf>
    <xf numFmtId="0" fontId="11" fillId="7" borderId="0" xfId="0" applyFont="1" applyFill="1"/>
    <xf numFmtId="0" fontId="11" fillId="7" borderId="0" xfId="0" applyFont="1" applyFill="1" applyAlignment="1">
      <alignment vertical="center" wrapText="1"/>
    </xf>
    <xf numFmtId="0" fontId="11" fillId="7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2" fillId="0" borderId="6" xfId="0" applyFont="1" applyBorder="1"/>
    <xf numFmtId="0" fontId="10" fillId="0" borderId="7" xfId="0" applyFont="1" applyBorder="1"/>
    <xf numFmtId="0" fontId="2" fillId="0" borderId="8" xfId="0" applyFont="1" applyBorder="1"/>
    <xf numFmtId="0" fontId="4" fillId="4" borderId="9" xfId="0" applyFont="1" applyFill="1" applyBorder="1"/>
    <xf numFmtId="0" fontId="10" fillId="0" borderId="10" xfId="0" applyFont="1" applyBorder="1"/>
    <xf numFmtId="0" fontId="10" fillId="8" borderId="0" xfId="0" applyFont="1" applyFill="1"/>
    <xf numFmtId="0" fontId="11" fillId="8" borderId="3" xfId="0" applyFont="1" applyFill="1" applyBorder="1"/>
    <xf numFmtId="0" fontId="11" fillId="8" borderId="4" xfId="0" applyFont="1" applyFill="1" applyBorder="1"/>
    <xf numFmtId="0" fontId="11" fillId="8" borderId="5" xfId="0" applyFont="1" applyFill="1" applyBorder="1"/>
    <xf numFmtId="0" fontId="7" fillId="6" borderId="0" xfId="0" applyFont="1" applyFill="1" applyAlignment="1">
      <alignment vertical="top" wrapText="1"/>
    </xf>
    <xf numFmtId="0" fontId="9" fillId="6" borderId="0" xfId="0" applyFont="1" applyFill="1" applyAlignment="1">
      <alignment vertical="top" wrapText="1"/>
    </xf>
  </cellXfs>
  <cellStyles count="1">
    <cellStyle name="Normal" xfId="0" builtinId="0"/>
  </cellStyles>
  <dxfs count="2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showGridLines="0" tabSelected="1" zoomScale="71" workbookViewId="0">
      <selection activeCell="A23" sqref="A23:F23"/>
    </sheetView>
  </sheetViews>
  <sheetFormatPr defaultRowHeight="14.15"/>
  <cols>
    <col min="1" max="1" width="26" customWidth="1"/>
    <col min="2" max="2" width="18" customWidth="1"/>
    <col min="3" max="3" width="21.85546875" customWidth="1"/>
    <col min="4" max="4" width="26.2109375" customWidth="1"/>
    <col min="5" max="5" width="20" customWidth="1"/>
    <col min="6" max="6" width="41.35546875" customWidth="1"/>
  </cols>
  <sheetData>
    <row r="1" spans="1:6" ht="30" customHeight="1">
      <c r="A1" s="25" t="s">
        <v>0</v>
      </c>
      <c r="B1" s="25"/>
      <c r="C1" s="25"/>
      <c r="D1" s="25"/>
      <c r="E1" s="25"/>
      <c r="F1" s="25"/>
    </row>
    <row r="2" spans="1:6" ht="28" customHeight="1">
      <c r="A2" s="19" t="s">
        <v>1</v>
      </c>
      <c r="B2" s="19"/>
      <c r="C2" s="19"/>
      <c r="D2" s="19"/>
      <c r="E2" s="19"/>
      <c r="F2" s="19"/>
    </row>
    <row r="3" spans="1:6">
      <c r="A3" s="1"/>
      <c r="B3" s="1"/>
      <c r="C3" s="1"/>
      <c r="D3" s="1"/>
      <c r="E3" s="1"/>
      <c r="F3" s="1"/>
    </row>
    <row r="4" spans="1:6" ht="22" customHeight="1">
      <c r="A4" s="22" t="s">
        <v>2</v>
      </c>
      <c r="B4" s="22"/>
      <c r="C4" s="22"/>
      <c r="D4" s="22" t="s">
        <v>3</v>
      </c>
      <c r="E4" s="22"/>
      <c r="F4" s="22"/>
    </row>
    <row r="5" spans="1:6">
      <c r="A5" s="16" t="s">
        <v>4</v>
      </c>
      <c r="B5" s="4" t="s">
        <v>35</v>
      </c>
      <c r="C5" s="3"/>
      <c r="D5" s="3" t="s">
        <v>5</v>
      </c>
      <c r="E5" s="5">
        <f>IF(OR(B6="",B7=""),"",B6+B7)</f>
        <v>500000</v>
      </c>
      <c r="F5" s="3"/>
    </row>
    <row r="6" spans="1:6">
      <c r="A6" s="16" t="s">
        <v>6</v>
      </c>
      <c r="B6" s="6">
        <v>50000</v>
      </c>
      <c r="C6" s="3"/>
      <c r="D6" s="3" t="s">
        <v>7</v>
      </c>
      <c r="E6" s="7">
        <f>IFERROR(B7/E5,"")</f>
        <v>0.9</v>
      </c>
      <c r="F6" s="3"/>
    </row>
    <row r="7" spans="1:6">
      <c r="A7" s="16" t="s">
        <v>8</v>
      </c>
      <c r="B7" s="6">
        <v>450000</v>
      </c>
      <c r="C7" s="3"/>
      <c r="D7" s="3" t="s">
        <v>9</v>
      </c>
      <c r="E7" s="7">
        <f>IF(E6="","",1-E6-B8)</f>
        <v>-2.7755575615628914E-17</v>
      </c>
      <c r="F7" s="3"/>
    </row>
    <row r="8" spans="1:6">
      <c r="A8" s="16" t="s">
        <v>10</v>
      </c>
      <c r="B8" s="8">
        <v>0.1</v>
      </c>
      <c r="C8" s="3"/>
      <c r="D8" s="3" t="s">
        <v>11</v>
      </c>
      <c r="E8" s="7">
        <f>IF(E5="","",B8)</f>
        <v>0.1</v>
      </c>
      <c r="F8" s="3"/>
    </row>
    <row r="9" spans="1:6">
      <c r="A9" s="16"/>
      <c r="B9" s="3"/>
      <c r="C9" s="3"/>
      <c r="D9" s="3" t="s">
        <v>12</v>
      </c>
      <c r="E9" s="7">
        <f>IF(E7="","",1-E7)</f>
        <v>1</v>
      </c>
      <c r="F9" s="3"/>
    </row>
    <row r="10" spans="1:6">
      <c r="A10" s="16"/>
      <c r="B10" s="3"/>
      <c r="C10" s="3"/>
      <c r="D10" s="3"/>
      <c r="E10" s="3"/>
      <c r="F10" s="3"/>
    </row>
    <row r="11" spans="1:6" ht="22" customHeight="1">
      <c r="A11" s="23" t="s">
        <v>13</v>
      </c>
      <c r="B11" s="24"/>
      <c r="C11" s="24"/>
      <c r="D11" s="24"/>
      <c r="E11" s="24"/>
      <c r="F11" s="24"/>
    </row>
    <row r="12" spans="1:6" ht="28.3">
      <c r="A12" s="9" t="s">
        <v>14</v>
      </c>
      <c r="B12" s="9" t="s">
        <v>15</v>
      </c>
      <c r="C12" s="9" t="s">
        <v>16</v>
      </c>
      <c r="D12" s="9" t="s">
        <v>17</v>
      </c>
      <c r="E12" s="9" t="s">
        <v>18</v>
      </c>
      <c r="F12" s="9" t="s">
        <v>19</v>
      </c>
    </row>
    <row r="13" spans="1:6">
      <c r="A13" s="17" t="s">
        <v>20</v>
      </c>
      <c r="B13" s="8"/>
      <c r="C13" s="10" t="str">
        <f>IF(OR(B13="",$E$7=""),"",B13*$E$7)</f>
        <v/>
      </c>
      <c r="D13" s="10" t="str">
        <f>IF(C13="","",B13-C13)</f>
        <v/>
      </c>
      <c r="E13" s="11" t="str">
        <f>IF(OR(C13="",$E$5=""),"",C13*$E$5)</f>
        <v/>
      </c>
      <c r="F13" s="3" t="s">
        <v>21</v>
      </c>
    </row>
    <row r="14" spans="1:6">
      <c r="A14" s="17" t="s">
        <v>22</v>
      </c>
      <c r="B14" s="8"/>
      <c r="C14" s="10" t="str">
        <f>IF(OR(B14="",$E$7=""),"",B14*$E$7)</f>
        <v/>
      </c>
      <c r="D14" s="10" t="str">
        <f>IF(C14="","",B14-C14)</f>
        <v/>
      </c>
      <c r="E14" s="11" t="str">
        <f>IF(OR(C14="",$E$5=""),"",C14*$E$5)</f>
        <v/>
      </c>
      <c r="F14" s="3" t="s">
        <v>21</v>
      </c>
    </row>
    <row r="15" spans="1:6">
      <c r="A15" s="17" t="s">
        <v>23</v>
      </c>
      <c r="B15" s="8"/>
      <c r="C15" s="10" t="str">
        <f>IF(OR(B15="",$E$7=""),"",B15*$E$7)</f>
        <v/>
      </c>
      <c r="D15" s="10" t="str">
        <f>IF(C15="","",B15-C15)</f>
        <v/>
      </c>
      <c r="E15" s="11" t="str">
        <f>IF(OR(C15="",$E$5=""),"",C15*$E$5)</f>
        <v/>
      </c>
      <c r="F15" s="3" t="s">
        <v>21</v>
      </c>
    </row>
    <row r="16" spans="1:6">
      <c r="A16" s="16" t="s">
        <v>24</v>
      </c>
      <c r="B16" s="8">
        <v>0.5</v>
      </c>
      <c r="C16" s="10">
        <f>IF($E$7="","",B16*$E$7+$B$8)</f>
        <v>9.9999999999999992E-2</v>
      </c>
      <c r="D16" s="10">
        <f>IF(C16="","",B16-C16)</f>
        <v>0.4</v>
      </c>
      <c r="E16" s="11">
        <f>IF(OR(C16="",$E$5=""),"",C16*$E$5)</f>
        <v>49999.999999999993</v>
      </c>
      <c r="F16" s="3" t="s">
        <v>25</v>
      </c>
    </row>
    <row r="17" spans="1:6">
      <c r="A17" s="16" t="s">
        <v>26</v>
      </c>
      <c r="B17" s="12">
        <v>0.12</v>
      </c>
      <c r="C17" s="10">
        <f>IF($E$6="","",$E$6)</f>
        <v>0.9</v>
      </c>
      <c r="D17" s="10">
        <f>0</f>
        <v>0</v>
      </c>
      <c r="E17" s="11">
        <f>IF(OR(C17="",$E$5=""),"",C17*$E$5)</f>
        <v>450000</v>
      </c>
      <c r="F17" s="3" t="s">
        <v>27</v>
      </c>
    </row>
    <row r="18" spans="1:6">
      <c r="A18" s="16"/>
      <c r="B18" s="3"/>
      <c r="C18" s="3"/>
      <c r="D18" s="3"/>
      <c r="E18" s="3"/>
      <c r="F18" s="3"/>
    </row>
    <row r="19" spans="1:6">
      <c r="A19" s="18" t="s">
        <v>28</v>
      </c>
      <c r="B19" s="14">
        <f>SUM(B13:B16)</f>
        <v>0.5</v>
      </c>
      <c r="C19" s="14">
        <f>SUM(C13:C17)</f>
        <v>1</v>
      </c>
      <c r="D19" s="13"/>
      <c r="E19" s="15">
        <f>SUM(E13:E17)</f>
        <v>500000</v>
      </c>
      <c r="F19" s="13" t="str">
        <f>IF(ABS(B19-1)&lt;0.0001,IF(OR(C19=0,ABS(C19-1)&lt;0.0001),"OK","POST-MONEY ERROR"),"CURRENT OWNERSHIP MUST EQUAL 100%")</f>
        <v>CURRENT OWNERSHIP MUST EQUAL 100%</v>
      </c>
    </row>
    <row r="20" spans="1:6">
      <c r="A20" s="1"/>
      <c r="B20" s="1"/>
      <c r="C20" s="1"/>
      <c r="D20" s="1"/>
      <c r="E20" s="1"/>
      <c r="F20" s="1"/>
    </row>
    <row r="21" spans="1:6">
      <c r="A21" s="20" t="s">
        <v>29</v>
      </c>
      <c r="B21" s="21"/>
      <c r="C21" s="21"/>
      <c r="D21" s="21"/>
      <c r="E21" s="21"/>
      <c r="F21" s="21"/>
    </row>
    <row r="22" spans="1:6" ht="70.75" customHeight="1">
      <c r="A22" s="35" t="s">
        <v>36</v>
      </c>
      <c r="B22" s="35"/>
      <c r="C22" s="35"/>
      <c r="D22" s="35"/>
      <c r="E22" s="35"/>
      <c r="F22" s="35"/>
    </row>
    <row r="23" spans="1:6" ht="34" customHeight="1">
      <c r="A23" s="36" t="s">
        <v>37</v>
      </c>
      <c r="B23" s="35"/>
      <c r="C23" s="35"/>
      <c r="D23" s="35"/>
      <c r="E23" s="35"/>
      <c r="F23" s="35"/>
    </row>
    <row r="24" spans="1:6" ht="14.6" thickBot="1">
      <c r="A24" s="31"/>
      <c r="B24" s="31"/>
      <c r="C24" s="31"/>
      <c r="D24" s="1"/>
      <c r="E24" s="1"/>
      <c r="F24" s="1"/>
    </row>
    <row r="25" spans="1:6">
      <c r="A25" s="32" t="s">
        <v>30</v>
      </c>
      <c r="B25" s="33" t="s">
        <v>31</v>
      </c>
      <c r="C25" s="34" t="s">
        <v>32</v>
      </c>
      <c r="D25" s="1"/>
      <c r="E25" s="1"/>
      <c r="F25" s="1"/>
    </row>
    <row r="26" spans="1:6">
      <c r="A26" s="26"/>
      <c r="B26" s="2" t="s">
        <v>33</v>
      </c>
      <c r="C26" s="27" t="s">
        <v>38</v>
      </c>
      <c r="D26" s="1"/>
      <c r="E26" s="1"/>
      <c r="F26" s="1"/>
    </row>
    <row r="27" spans="1:6" ht="14.6" thickBot="1">
      <c r="A27" s="28"/>
      <c r="B27" s="29" t="s">
        <v>34</v>
      </c>
      <c r="C27" s="30" t="s">
        <v>39</v>
      </c>
      <c r="D27" s="1"/>
      <c r="E27" s="1"/>
      <c r="F27" s="1"/>
    </row>
  </sheetData>
  <mergeCells count="8">
    <mergeCell ref="A21:F21"/>
    <mergeCell ref="A22:F22"/>
    <mergeCell ref="A23:F23"/>
    <mergeCell ref="A1:F1"/>
    <mergeCell ref="A2:F2"/>
    <mergeCell ref="A4:C4"/>
    <mergeCell ref="D4:F4"/>
    <mergeCell ref="A11:F11"/>
  </mergeCells>
  <conditionalFormatting sqref="F19">
    <cfRule type="containsText" dxfId="1" priority="1" operator="containsText" text="OK"/>
    <cfRule type="notContainsText" dxfId="0" priority="2" operator="notContains" text="OK"/>
  </conditionalFormatting>
  <dataValidations count="3">
    <dataValidation type="list" sqref="B5" xr:uid="{00000000-0002-0000-0000-000000000000}">
      <formula1>"EUR,GBP,USD"</formula1>
    </dataValidation>
    <dataValidation type="decimal" sqref="B8" xr:uid="{00000000-0002-0000-0000-000001000000}">
      <formula1>0</formula1>
      <formula2>0.5</formula2>
    </dataValidation>
    <dataValidation type="decimal" sqref="B13:B16" xr:uid="{00000000-0002-0000-0000-000002000000}">
      <formula1>0</formula1>
      <formula2>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Valuation | Cap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Aishani Pandey</cp:lastModifiedBy>
  <dcterms:modified xsi:type="dcterms:W3CDTF">2026-08-29T13:13:03Z</dcterms:modified>
</cp:coreProperties>
</file>